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ithub\wx_evaluation\docs\"/>
    </mc:Choice>
  </mc:AlternateContent>
  <xr:revisionPtr revIDLastSave="0" documentId="8_{0E0D92F3-A12E-411D-9554-67378ED4CE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针对同一家范例" sheetId="1" r:id="rId1"/>
    <sheet name="针对不同供方模具+产品范例" sheetId="2" r:id="rId2"/>
    <sheet name="针对不同供方产品范例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6" i="3" l="1"/>
  <c r="D7" i="3"/>
  <c r="N7" i="2"/>
  <c r="N6" i="2"/>
  <c r="N5" i="2"/>
  <c r="E6" i="2"/>
  <c r="E7" i="2"/>
  <c r="E8" i="2"/>
  <c r="N8" i="2"/>
  <c r="E5" i="2"/>
  <c r="F7" i="2" s="1"/>
  <c r="E5" i="1"/>
  <c r="F6" i="1" s="1"/>
  <c r="L6" i="1"/>
  <c r="L5" i="1"/>
  <c r="M6" i="1" s="1"/>
  <c r="F6" i="2" l="1"/>
  <c r="F8" i="2"/>
  <c r="O5" i="2"/>
  <c r="O6" i="2"/>
  <c r="O8" i="2"/>
</calcChain>
</file>

<file path=xl/sharedStrings.xml><?xml version="1.0" encoding="utf-8"?>
<sst xmlns="http://schemas.openxmlformats.org/spreadsheetml/2006/main" count="95" uniqueCount="58">
  <si>
    <t>樣品交期</t>
    <phoneticPr fontId="2" type="noConversion"/>
  </si>
  <si>
    <t>賬期</t>
    <phoneticPr fontId="2" type="noConversion"/>
  </si>
  <si>
    <t>模具款條件</t>
    <phoneticPr fontId="2" type="noConversion"/>
  </si>
  <si>
    <t>備註</t>
    <phoneticPr fontId="2" type="noConversion"/>
  </si>
  <si>
    <t>70天</t>
    <phoneticPr fontId="2" type="noConversion"/>
  </si>
  <si>
    <t>腳架每檔差價0.1
跳線每檔差價0.03
根據強茂訂單生產</t>
    <phoneticPr fontId="2" type="noConversion"/>
  </si>
  <si>
    <t>腳架每檔差價0.1
跳線每檔差價0.03
根據強茂訂單生產</t>
    <phoneticPr fontId="2" type="noConversion"/>
  </si>
  <si>
    <t>價差
浮動比例</t>
    <phoneticPr fontId="2" type="noConversion"/>
  </si>
  <si>
    <t>55天</t>
    <phoneticPr fontId="2" type="noConversion"/>
  </si>
  <si>
    <t>TT30+180承兌匯票</t>
    <phoneticPr fontId="2" type="noConversion"/>
  </si>
  <si>
    <t>TT90+180承兌匯票</t>
    <phoneticPr fontId="2" type="noConversion"/>
  </si>
  <si>
    <r>
      <t>1、樣品驗收後一次性支付模具費
2、框架&amp;跳線交易總量各達到</t>
    </r>
    <r>
      <rPr>
        <sz val="10"/>
        <color rgb="FF00B050"/>
        <rFont val="微软雅黑"/>
        <family val="2"/>
        <charset val="134"/>
      </rPr>
      <t>200KK</t>
    </r>
    <r>
      <rPr>
        <sz val="10"/>
        <color theme="1"/>
        <rFont val="微软雅黑"/>
        <family val="2"/>
        <charset val="134"/>
      </rPr>
      <t>後返還對應模具費</t>
    </r>
    <phoneticPr fontId="2" type="noConversion"/>
  </si>
  <si>
    <t>樣品驗收後一次性支付模具費</t>
    <phoneticPr fontId="2" type="noConversion"/>
  </si>
  <si>
    <t>銅價參考78000-79000</t>
    <phoneticPr fontId="2" type="noConversion"/>
  </si>
  <si>
    <t>供方A</t>
    <phoneticPr fontId="2" type="noConversion"/>
  </si>
  <si>
    <t>供方B</t>
    <phoneticPr fontId="2" type="noConversion"/>
  </si>
  <si>
    <t>供方C</t>
    <phoneticPr fontId="2" type="noConversion"/>
  </si>
  <si>
    <t>供方D</t>
    <phoneticPr fontId="2" type="noConversion"/>
  </si>
  <si>
    <t>60天</t>
    <phoneticPr fontId="2" type="noConversion"/>
  </si>
  <si>
    <t>75天</t>
    <phoneticPr fontId="2" type="noConversion"/>
  </si>
  <si>
    <t>TT30</t>
    <phoneticPr fontId="2" type="noConversion"/>
  </si>
  <si>
    <t>TT90</t>
    <phoneticPr fontId="2" type="noConversion"/>
  </si>
  <si>
    <t>腳架每檔差價0.2
跳線每檔差價0.03</t>
    <phoneticPr fontId="2" type="noConversion"/>
  </si>
  <si>
    <t>腳架每檔差價0.1
跳線每檔差價0.05</t>
    <phoneticPr fontId="2" type="noConversion"/>
  </si>
  <si>
    <t>腳架每檔差價0.1
跳線每檔差價0.03</t>
    <phoneticPr fontId="2" type="noConversion"/>
  </si>
  <si>
    <t>腳架每檔差價0.1
跳線每檔差價0.08</t>
    <phoneticPr fontId="2" type="noConversion"/>
  </si>
  <si>
    <t>報價</t>
    <phoneticPr fontId="2" type="noConversion"/>
  </si>
  <si>
    <t>開發模具品項（ 舉例：TO-277B MAX模具費）</t>
    <phoneticPr fontId="2" type="noConversion"/>
  </si>
  <si>
    <t>涉及具體產品（舉例TO-277B MAX產品單價
）</t>
    <phoneticPr fontId="2" type="noConversion"/>
  </si>
  <si>
    <t>產品1（腳架）</t>
    <phoneticPr fontId="2" type="noConversion"/>
  </si>
  <si>
    <t>產品2
（跳線
(4個 option））</t>
    <phoneticPr fontId="2" type="noConversion"/>
  </si>
  <si>
    <t>含稅
（單位萬元）</t>
    <phoneticPr fontId="2" type="noConversion"/>
  </si>
  <si>
    <t>產品1（框架）
未稅單價元/K</t>
    <phoneticPr fontId="2" type="noConversion"/>
  </si>
  <si>
    <t>產品2（跳線
未稅單價元/K)</t>
    <phoneticPr fontId="2" type="noConversion"/>
  </si>
  <si>
    <t>單價合計</t>
    <phoneticPr fontId="2" type="noConversion"/>
  </si>
  <si>
    <t>參考的金屬級距</t>
    <phoneticPr fontId="2" type="noConversion"/>
  </si>
  <si>
    <t>議價前</t>
    <phoneticPr fontId="2" type="noConversion"/>
  </si>
  <si>
    <t>議價後</t>
    <phoneticPr fontId="2" type="noConversion"/>
  </si>
  <si>
    <t>供方名稱</t>
    <phoneticPr fontId="2" type="noConversion"/>
  </si>
  <si>
    <t>涉及具體產品（舉例TO-277B MAX產品單價
）</t>
    <phoneticPr fontId="2" type="noConversion"/>
  </si>
  <si>
    <t>產品2
（跳線
(4個 option））</t>
    <phoneticPr fontId="2" type="noConversion"/>
  </si>
  <si>
    <t>背調信息</t>
    <phoneticPr fontId="2" type="noConversion"/>
  </si>
  <si>
    <t>針對價格，交期，賬期、
模具條款、背調資訊綜合評估最優一家</t>
    <phoneticPr fontId="2" type="noConversion"/>
  </si>
  <si>
    <t>產品1（框架）
未稅單價元/K</t>
    <phoneticPr fontId="2" type="noConversion"/>
  </si>
  <si>
    <t>產品2（跳線
未稅單價元/K)</t>
    <phoneticPr fontId="2" type="noConversion"/>
  </si>
  <si>
    <t>級距單價</t>
    <phoneticPr fontId="2" type="noConversion"/>
  </si>
  <si>
    <t>參考的金屬級距</t>
    <phoneticPr fontId="2" type="noConversion"/>
  </si>
  <si>
    <t>1：拖欠貨款頻次
2：年度被客戶投訴頻次
3：年度品質異常頻次（8D）
4：與客戶的配合度（配合加急出貨、品質改善）
不限於以上主要幾個資訊</t>
    <phoneticPr fontId="2" type="noConversion"/>
  </si>
  <si>
    <t>定金30%，送樣款40%，驗收款30%</t>
    <phoneticPr fontId="2" type="noConversion"/>
  </si>
  <si>
    <t>定金50%，送樣款50%</t>
    <phoneticPr fontId="2" type="noConversion"/>
  </si>
  <si>
    <t>产品名称（未税单价）</t>
    <phoneticPr fontId="2" type="noConversion"/>
  </si>
  <si>
    <t>索样周期</t>
    <phoneticPr fontId="2" type="noConversion"/>
  </si>
  <si>
    <t>交货周期</t>
    <phoneticPr fontId="2" type="noConversion"/>
  </si>
  <si>
    <t>針對價格、索样周期、交货周期、賬期、
模具條款、背調資訊綜合評估最優一家</t>
    <phoneticPr fontId="2" type="noConversion"/>
  </si>
  <si>
    <t>交货周期</t>
    <phoneticPr fontId="2" type="noConversion"/>
  </si>
  <si>
    <t>單價合計</t>
    <phoneticPr fontId="2" type="noConversion"/>
  </si>
  <si>
    <t>針對單價、交货周期、級距單價
走勢給出綜合評分</t>
    <phoneticPr fontId="2" type="noConversion"/>
  </si>
  <si>
    <t>产品名称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</si>
</sst>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>
    <font>
      <sz val="11"/>
      <color theme="1"/>
      <name val="新細明體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新細明體"/>
      <family val="2"/>
      <charset val="134"/>
      <scheme val="minor"/>
    </font>
    <font>
      <b/>
      <sz val="10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0"/>
      <color rgb="FF00B050"/>
      <name val="微软雅黑"/>
      <family val="2"/>
      <charset val="134"/>
    </font>
    <font>
      <sz val="10"/>
      <color rgb="FF00B05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FFFF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40ADA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10" fontId="1" fillId="0" borderId="2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1" fillId="0" borderId="9" xfId="0" applyFont="1" applyBorder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0" fontId="3" fillId="2" borderId="1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" fontId="1" fillId="0" borderId="11" xfId="0" applyNumberFormat="1" applyFont="1" applyBorder="1">
      <alignment vertical="center"/>
    </xf>
    <xf numFmtId="176" fontId="1" fillId="0" borderId="11" xfId="0" applyNumberFormat="1" applyFont="1" applyBorder="1">
      <alignment vertical="center"/>
    </xf>
    <xf numFmtId="9" fontId="1" fillId="0" borderId="11" xfId="0" applyNumberFormat="1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2" fontId="1" fillId="0" borderId="13" xfId="0" applyNumberFormat="1" applyFont="1" applyBorder="1">
      <alignment vertical="center"/>
    </xf>
    <xf numFmtId="2" fontId="1" fillId="0" borderId="11" xfId="0" applyNumberFormat="1" applyFont="1" applyBorder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176" fontId="1" fillId="0" borderId="15" xfId="0" applyNumberFormat="1" applyFont="1" applyBorder="1">
      <alignment vertical="center"/>
    </xf>
    <xf numFmtId="9" fontId="5" fillId="0" borderId="15" xfId="0" applyNumberFormat="1" applyFont="1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2" fontId="1" fillId="0" borderId="14" xfId="0" applyNumberFormat="1" applyFont="1" applyBorder="1">
      <alignment vertical="center"/>
    </xf>
    <xf numFmtId="2" fontId="1" fillId="0" borderId="15" xfId="0" applyNumberFormat="1" applyFont="1" applyBorder="1">
      <alignment vertical="center"/>
    </xf>
    <xf numFmtId="0" fontId="1" fillId="0" borderId="17" xfId="0" applyFont="1" applyBorder="1">
      <alignment vertical="center"/>
    </xf>
    <xf numFmtId="10" fontId="1" fillId="0" borderId="17" xfId="0" applyNumberFormat="1" applyFont="1" applyBorder="1">
      <alignment vertical="center"/>
    </xf>
    <xf numFmtId="10" fontId="1" fillId="0" borderId="1" xfId="0" applyNumberFormat="1" applyFont="1" applyBorder="1">
      <alignment vertical="center"/>
    </xf>
    <xf numFmtId="0" fontId="3" fillId="2" borderId="18" xfId="0" applyFont="1" applyFill="1" applyBorder="1" applyAlignment="1">
      <alignment horizontal="center" vertical="center"/>
    </xf>
    <xf numFmtId="176" fontId="1" fillId="0" borderId="18" xfId="0" applyNumberFormat="1" applyFont="1" applyBorder="1">
      <alignment vertical="center"/>
    </xf>
    <xf numFmtId="176" fontId="1" fillId="0" borderId="19" xfId="0" applyNumberFormat="1" applyFont="1" applyBorder="1">
      <alignment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" fontId="1" fillId="0" borderId="20" xfId="0" applyNumberFormat="1" applyFont="1" applyBorder="1">
      <alignment vertical="center"/>
    </xf>
    <xf numFmtId="176" fontId="1" fillId="0" borderId="20" xfId="0" applyNumberFormat="1" applyFont="1" applyBorder="1">
      <alignment vertical="center"/>
    </xf>
    <xf numFmtId="9" fontId="1" fillId="0" borderId="20" xfId="0" applyNumberFormat="1" applyFont="1" applyBorder="1">
      <alignment vertical="center"/>
    </xf>
    <xf numFmtId="0" fontId="4" fillId="0" borderId="20" xfId="0" applyFont="1" applyBorder="1" applyAlignment="1">
      <alignment vertical="center" wrapText="1"/>
    </xf>
    <xf numFmtId="2" fontId="1" fillId="0" borderId="20" xfId="0" applyNumberFormat="1" applyFont="1" applyBorder="1">
      <alignment vertical="center"/>
    </xf>
    <xf numFmtId="0" fontId="1" fillId="0" borderId="20" xfId="0" applyFont="1" applyBorder="1" applyAlignment="1">
      <alignment vertical="center" wrapText="1"/>
    </xf>
    <xf numFmtId="9" fontId="5" fillId="0" borderId="20" xfId="0" applyNumberFormat="1" applyFont="1" applyBorder="1">
      <alignment vertical="center"/>
    </xf>
    <xf numFmtId="0" fontId="1" fillId="0" borderId="20" xfId="0" applyFont="1" applyBorder="1">
      <alignment vertical="center"/>
    </xf>
    <xf numFmtId="0" fontId="8" fillId="2" borderId="20" xfId="0" applyFont="1" applyFill="1" applyBorder="1" applyAlignment="1">
      <alignment horizontal="center" vertical="center" wrapText="1"/>
    </xf>
    <xf numFmtId="10" fontId="8" fillId="2" borderId="20" xfId="0" applyNumberFormat="1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一般" xfId="0" builtinId="0"/>
  </cellStyles>
  <dxfs count="6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P7"/>
  <sheetViews>
    <sheetView workbookViewId="0">
      <selection activeCell="O6" sqref="A3:O6"/>
    </sheetView>
  </sheetViews>
  <sheetFormatPr defaultColWidth="8.625" defaultRowHeight="15"/>
  <cols>
    <col min="1" max="1" width="1.875" style="1" customWidth="1"/>
    <col min="2" max="2" width="8.125" style="1" customWidth="1"/>
    <col min="3" max="3" width="8.75" style="1" customWidth="1"/>
    <col min="4" max="4" width="15.625" style="1" customWidth="1"/>
    <col min="5" max="5" width="11.125" style="1" customWidth="1"/>
    <col min="6" max="6" width="9" style="29" customWidth="1"/>
    <col min="7" max="7" width="9" style="1" customWidth="1"/>
    <col min="8" max="8" width="20.75" style="1" customWidth="1"/>
    <col min="9" max="9" width="29" style="1" customWidth="1"/>
    <col min="10" max="10" width="10.875" style="1" customWidth="1"/>
    <col min="11" max="11" width="9.875" style="1" customWidth="1"/>
    <col min="12" max="13" width="8.625" style="1" customWidth="1"/>
    <col min="14" max="14" width="19.25" style="1" bestFit="1" customWidth="1"/>
    <col min="15" max="15" width="20.125" style="1" customWidth="1"/>
    <col min="16" max="16" width="3.875" style="1" customWidth="1"/>
    <col min="17" max="16384" width="8.625" style="1"/>
  </cols>
  <sheetData>
    <row r="2" spans="1:16" ht="15.6" thickBot="1"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</row>
    <row r="3" spans="1:16" ht="90.6" customHeight="1">
      <c r="A3" s="4"/>
      <c r="B3" s="54" t="s">
        <v>26</v>
      </c>
      <c r="C3" s="56" t="s">
        <v>27</v>
      </c>
      <c r="D3" s="57"/>
      <c r="E3" s="57"/>
      <c r="F3" s="57"/>
      <c r="G3" s="57"/>
      <c r="H3" s="57"/>
      <c r="I3" s="58"/>
      <c r="J3" s="59" t="s">
        <v>28</v>
      </c>
      <c r="K3" s="57"/>
      <c r="L3" s="57"/>
      <c r="M3" s="57"/>
      <c r="N3" s="57"/>
      <c r="O3" s="58"/>
      <c r="P3" s="5"/>
    </row>
    <row r="4" spans="1:16" ht="62.4">
      <c r="A4" s="4"/>
      <c r="B4" s="55"/>
      <c r="C4" s="6" t="s">
        <v>29</v>
      </c>
      <c r="D4" s="6" t="s">
        <v>30</v>
      </c>
      <c r="E4" s="6" t="s">
        <v>31</v>
      </c>
      <c r="F4" s="8" t="s">
        <v>7</v>
      </c>
      <c r="G4" s="7" t="s">
        <v>0</v>
      </c>
      <c r="H4" s="7" t="s">
        <v>1</v>
      </c>
      <c r="I4" s="9" t="s">
        <v>2</v>
      </c>
      <c r="J4" s="33" t="s">
        <v>32</v>
      </c>
      <c r="K4" s="33" t="s">
        <v>33</v>
      </c>
      <c r="L4" s="7" t="s">
        <v>34</v>
      </c>
      <c r="M4" s="8" t="s">
        <v>7</v>
      </c>
      <c r="N4" s="30" t="s">
        <v>35</v>
      </c>
      <c r="O4" s="9" t="s">
        <v>3</v>
      </c>
      <c r="P4" s="5"/>
    </row>
    <row r="5" spans="1:16" ht="45">
      <c r="A5" s="4"/>
      <c r="B5" s="10" t="s">
        <v>36</v>
      </c>
      <c r="C5" s="11">
        <v>50</v>
      </c>
      <c r="D5" s="11">
        <v>20</v>
      </c>
      <c r="E5" s="12">
        <f>SUM(C5:D5)</f>
        <v>70</v>
      </c>
      <c r="F5" s="13"/>
      <c r="G5" s="14" t="s">
        <v>4</v>
      </c>
      <c r="H5" s="14" t="s">
        <v>9</v>
      </c>
      <c r="I5" s="15" t="s">
        <v>12</v>
      </c>
      <c r="J5" s="16">
        <v>12</v>
      </c>
      <c r="K5" s="17">
        <v>4.5</v>
      </c>
      <c r="L5" s="12">
        <f>SUM(J5:K5)</f>
        <v>16.5</v>
      </c>
      <c r="M5" s="31"/>
      <c r="N5" s="31" t="s">
        <v>13</v>
      </c>
      <c r="O5" s="18" t="s">
        <v>5</v>
      </c>
      <c r="P5" s="5"/>
    </row>
    <row r="6" spans="1:16" ht="60.6" thickBot="1">
      <c r="A6" s="4"/>
      <c r="B6" s="19" t="s">
        <v>37</v>
      </c>
      <c r="C6" s="20">
        <v>35</v>
      </c>
      <c r="D6" s="20">
        <v>15</v>
      </c>
      <c r="E6" s="21">
        <v>60</v>
      </c>
      <c r="F6" s="22">
        <f>(E5-E6)/E5</f>
        <v>0.14285714285714285</v>
      </c>
      <c r="G6" s="23" t="s">
        <v>8</v>
      </c>
      <c r="H6" s="23" t="s">
        <v>10</v>
      </c>
      <c r="I6" s="24" t="s">
        <v>11</v>
      </c>
      <c r="J6" s="25">
        <v>10</v>
      </c>
      <c r="K6" s="26">
        <v>4.5</v>
      </c>
      <c r="L6" s="21">
        <f>SUM(J6:K6)</f>
        <v>14.5</v>
      </c>
      <c r="M6" s="22">
        <f>(L5-L6)/L5</f>
        <v>0.12121212121212122</v>
      </c>
      <c r="N6" s="32" t="s">
        <v>13</v>
      </c>
      <c r="O6" s="24" t="s">
        <v>6</v>
      </c>
      <c r="P6" s="5"/>
    </row>
    <row r="7" spans="1:16">
      <c r="B7" s="27"/>
      <c r="C7" s="27"/>
      <c r="D7" s="27"/>
      <c r="E7" s="27"/>
      <c r="F7" s="28"/>
      <c r="G7" s="27"/>
      <c r="H7" s="27"/>
      <c r="I7" s="27"/>
      <c r="J7" s="27"/>
      <c r="K7" s="27"/>
      <c r="L7" s="27"/>
      <c r="M7" s="27"/>
      <c r="N7" s="27"/>
      <c r="O7" s="27"/>
    </row>
  </sheetData>
  <mergeCells count="3">
    <mergeCell ref="B3:B4"/>
    <mergeCell ref="C3:I3"/>
    <mergeCell ref="J3:O3"/>
  </mergeCells>
  <phoneticPr fontId="2" type="noConversion"/>
  <conditionalFormatting sqref="E5:E6">
    <cfRule type="top10" dxfId="5" priority="1" rank="1"/>
    <cfRule type="top10" dxfId="4" priority="2" bottom="1" rank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2:T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5" sqref="J5:J8"/>
    </sheetView>
  </sheetViews>
  <sheetFormatPr defaultColWidth="8.625" defaultRowHeight="15"/>
  <cols>
    <col min="1" max="1" width="1.875" style="1" customWidth="1"/>
    <col min="2" max="2" width="8.125" style="1" customWidth="1"/>
    <col min="3" max="3" width="8.75" style="1" customWidth="1"/>
    <col min="4" max="4" width="14.125" style="1" bestFit="1" customWidth="1"/>
    <col min="5" max="5" width="11.125" style="1" customWidth="1"/>
    <col min="6" max="6" width="9" style="29" customWidth="1"/>
    <col min="7" max="7" width="9" style="1" customWidth="1"/>
    <col min="8" max="10" width="22.375" style="1" customWidth="1"/>
    <col min="11" max="11" width="29" style="1" customWidth="1"/>
    <col min="12" max="12" width="10.875" style="1" customWidth="1"/>
    <col min="13" max="13" width="9.875" style="1" customWidth="1"/>
    <col min="14" max="16" width="8.625" style="1" customWidth="1"/>
    <col min="17" max="17" width="20.125" style="1" customWidth="1"/>
    <col min="18" max="18" width="19.25" style="1" bestFit="1" customWidth="1"/>
    <col min="19" max="19" width="20.125" style="1" customWidth="1"/>
    <col min="20" max="20" width="3.875" style="1" customWidth="1"/>
    <col min="21" max="16384" width="8.625" style="1"/>
  </cols>
  <sheetData>
    <row r="2" spans="1:20"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0" ht="90.6" customHeight="1">
      <c r="A3" s="4"/>
      <c r="B3" s="49" t="s">
        <v>38</v>
      </c>
      <c r="C3" s="49" t="s">
        <v>27</v>
      </c>
      <c r="D3" s="49"/>
      <c r="E3" s="49"/>
      <c r="F3" s="49"/>
      <c r="G3" s="49"/>
      <c r="H3" s="49"/>
      <c r="I3" s="49"/>
      <c r="J3" s="49"/>
      <c r="K3" s="49"/>
      <c r="L3" s="50" t="s">
        <v>39</v>
      </c>
      <c r="M3" s="49"/>
      <c r="N3" s="49"/>
      <c r="O3" s="49"/>
      <c r="P3" s="49"/>
      <c r="Q3" s="49"/>
      <c r="R3" s="49"/>
      <c r="S3" s="49"/>
      <c r="T3" s="5"/>
    </row>
    <row r="4" spans="1:20" ht="62.4">
      <c r="A4" s="4"/>
      <c r="B4" s="49"/>
      <c r="C4" s="34" t="s">
        <v>29</v>
      </c>
      <c r="D4" s="34" t="s">
        <v>40</v>
      </c>
      <c r="E4" s="46" t="s">
        <v>31</v>
      </c>
      <c r="F4" s="47" t="s">
        <v>7</v>
      </c>
      <c r="G4" s="48" t="s">
        <v>0</v>
      </c>
      <c r="H4" s="48" t="s">
        <v>1</v>
      </c>
      <c r="I4" s="48" t="s">
        <v>2</v>
      </c>
      <c r="J4" s="48" t="s">
        <v>41</v>
      </c>
      <c r="K4" s="36" t="s">
        <v>42</v>
      </c>
      <c r="L4" s="34" t="s">
        <v>43</v>
      </c>
      <c r="M4" s="34" t="s">
        <v>44</v>
      </c>
      <c r="N4" s="48" t="s">
        <v>55</v>
      </c>
      <c r="O4" s="47" t="s">
        <v>7</v>
      </c>
      <c r="P4" s="47" t="s">
        <v>54</v>
      </c>
      <c r="Q4" s="48" t="s">
        <v>45</v>
      </c>
      <c r="R4" s="35" t="s">
        <v>46</v>
      </c>
      <c r="S4" s="36" t="s">
        <v>56</v>
      </c>
      <c r="T4" s="5"/>
    </row>
    <row r="5" spans="1:20" ht="65.099999999999994" customHeight="1">
      <c r="A5" s="4"/>
      <c r="B5" s="37" t="s">
        <v>14</v>
      </c>
      <c r="C5" s="38">
        <v>50</v>
      </c>
      <c r="D5" s="38">
        <v>20</v>
      </c>
      <c r="E5" s="39">
        <f>SUM(C5:D5)</f>
        <v>70</v>
      </c>
      <c r="F5" s="40"/>
      <c r="G5" s="37" t="s">
        <v>4</v>
      </c>
      <c r="H5" s="37" t="s">
        <v>9</v>
      </c>
      <c r="I5" s="41" t="s">
        <v>12</v>
      </c>
      <c r="J5" s="51" t="s">
        <v>47</v>
      </c>
      <c r="K5" s="41"/>
      <c r="L5" s="42">
        <v>12</v>
      </c>
      <c r="M5" s="42">
        <v>4.5</v>
      </c>
      <c r="N5" s="39">
        <f>SUM(L5:M5)</f>
        <v>16.5</v>
      </c>
      <c r="O5" s="44">
        <f>(N7-N5)/N7</f>
        <v>8.3333333333333329E-2</v>
      </c>
      <c r="P5" s="44"/>
      <c r="Q5" s="43" t="s">
        <v>22</v>
      </c>
      <c r="R5" s="39" t="s">
        <v>13</v>
      </c>
      <c r="S5" s="43"/>
      <c r="T5" s="5"/>
    </row>
    <row r="6" spans="1:20" ht="30">
      <c r="A6" s="4"/>
      <c r="B6" s="37" t="s">
        <v>15</v>
      </c>
      <c r="C6" s="38">
        <v>45</v>
      </c>
      <c r="D6" s="38">
        <v>20</v>
      </c>
      <c r="E6" s="39">
        <f t="shared" ref="E6:E8" si="0">SUM(C6:D6)</f>
        <v>65</v>
      </c>
      <c r="F6" s="44">
        <f>(E5-E6)/E5</f>
        <v>7.1428571428571425E-2</v>
      </c>
      <c r="G6" s="37" t="s">
        <v>18</v>
      </c>
      <c r="H6" s="37" t="s">
        <v>20</v>
      </c>
      <c r="I6" s="41" t="s">
        <v>48</v>
      </c>
      <c r="J6" s="52"/>
      <c r="K6" s="41"/>
      <c r="L6" s="42">
        <v>11</v>
      </c>
      <c r="M6" s="42">
        <v>4</v>
      </c>
      <c r="N6" s="39">
        <f>SUM(L6:M6)</f>
        <v>15</v>
      </c>
      <c r="O6" s="44">
        <f>(N7-N6)/N7</f>
        <v>0.16666666666666666</v>
      </c>
      <c r="P6" s="44"/>
      <c r="Q6" s="43" t="s">
        <v>23</v>
      </c>
      <c r="R6" s="39" t="s">
        <v>13</v>
      </c>
      <c r="S6" s="43"/>
      <c r="T6" s="5"/>
    </row>
    <row r="7" spans="1:20" ht="30">
      <c r="A7" s="4"/>
      <c r="B7" s="37" t="s">
        <v>16</v>
      </c>
      <c r="C7" s="38">
        <v>40</v>
      </c>
      <c r="D7" s="38">
        <v>18</v>
      </c>
      <c r="E7" s="39">
        <f t="shared" si="0"/>
        <v>58</v>
      </c>
      <c r="F7" s="44">
        <f>(E5-E7)/E5</f>
        <v>0.17142857142857143</v>
      </c>
      <c r="G7" s="37" t="s">
        <v>19</v>
      </c>
      <c r="H7" s="37" t="s">
        <v>21</v>
      </c>
      <c r="I7" s="41" t="s">
        <v>49</v>
      </c>
      <c r="J7" s="52"/>
      <c r="K7" s="41"/>
      <c r="L7" s="42">
        <v>13</v>
      </c>
      <c r="M7" s="42">
        <v>5</v>
      </c>
      <c r="N7" s="39">
        <f>SUM(L7:M7)</f>
        <v>18</v>
      </c>
      <c r="O7" s="39"/>
      <c r="P7" s="39"/>
      <c r="Q7" s="43" t="s">
        <v>25</v>
      </c>
      <c r="R7" s="39" t="s">
        <v>13</v>
      </c>
      <c r="S7" s="43"/>
      <c r="T7" s="5"/>
    </row>
    <row r="8" spans="1:20" ht="75">
      <c r="A8" s="4"/>
      <c r="B8" s="37" t="s">
        <v>17</v>
      </c>
      <c r="C8" s="45">
        <v>35</v>
      </c>
      <c r="D8" s="45">
        <v>15</v>
      </c>
      <c r="E8" s="39">
        <f t="shared" si="0"/>
        <v>50</v>
      </c>
      <c r="F8" s="44">
        <f>(E5-E8)/E5</f>
        <v>0.2857142857142857</v>
      </c>
      <c r="G8" s="37" t="s">
        <v>8</v>
      </c>
      <c r="H8" s="37" t="s">
        <v>10</v>
      </c>
      <c r="I8" s="43" t="s">
        <v>11</v>
      </c>
      <c r="J8" s="53"/>
      <c r="K8" s="43"/>
      <c r="L8" s="42">
        <v>10</v>
      </c>
      <c r="M8" s="42">
        <v>4.5</v>
      </c>
      <c r="N8" s="39">
        <f>SUM(L8:M8)</f>
        <v>14.5</v>
      </c>
      <c r="O8" s="44">
        <f>(N7-N8)/N7</f>
        <v>0.19444444444444445</v>
      </c>
      <c r="P8" s="44"/>
      <c r="Q8" s="43" t="s">
        <v>24</v>
      </c>
      <c r="R8" s="39" t="s">
        <v>13</v>
      </c>
      <c r="S8" s="43"/>
      <c r="T8" s="5"/>
    </row>
    <row r="9" spans="1:20">
      <c r="B9" s="27"/>
      <c r="C9" s="27"/>
      <c r="D9" s="27"/>
      <c r="E9" s="27"/>
      <c r="F9" s="28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</sheetData>
  <mergeCells count="4">
    <mergeCell ref="B3:B4"/>
    <mergeCell ref="C3:K3"/>
    <mergeCell ref="L3:S3"/>
    <mergeCell ref="J5:J8"/>
  </mergeCells>
  <phoneticPr fontId="2" type="noConversion"/>
  <conditionalFormatting sqref="E5:E8">
    <cfRule type="top10" dxfId="3" priority="1" rank="1"/>
    <cfRule type="top10" dxfId="2" priority="2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J9"/>
  <sheetViews>
    <sheetView workbookViewId="0">
      <selection activeCell="B5" sqref="B5"/>
    </sheetView>
  </sheetViews>
  <sheetFormatPr defaultColWidth="8.625" defaultRowHeight="15"/>
  <cols>
    <col min="1" max="1" width="1.875" style="1" customWidth="1"/>
    <col min="2" max="2" width="8.125" style="1" customWidth="1"/>
    <col min="3" max="3" width="11.125" style="1" customWidth="1"/>
    <col min="4" max="4" width="9" style="29" customWidth="1"/>
    <col min="5" max="6" width="9" style="1" customWidth="1"/>
    <col min="7" max="8" width="22.375" style="1" customWidth="1"/>
    <col min="9" max="9" width="29" style="1" customWidth="1"/>
    <col min="10" max="10" width="3.875" style="1" customWidth="1"/>
    <col min="11" max="16384" width="8.625" style="1"/>
  </cols>
  <sheetData>
    <row r="2" spans="1:10">
      <c r="B2" s="2"/>
      <c r="C2" s="2"/>
      <c r="D2" s="3"/>
      <c r="E2" s="2"/>
      <c r="F2" s="2"/>
      <c r="G2" s="2"/>
      <c r="H2" s="2"/>
      <c r="I2" s="2"/>
    </row>
    <row r="3" spans="1:10" ht="15.6">
      <c r="A3" s="4"/>
      <c r="B3" s="49" t="s">
        <v>38</v>
      </c>
      <c r="C3" s="49" t="s">
        <v>57</v>
      </c>
      <c r="D3" s="49"/>
      <c r="E3" s="49"/>
      <c r="F3" s="49"/>
      <c r="G3" s="49"/>
      <c r="H3" s="49"/>
      <c r="I3" s="49"/>
      <c r="J3" s="5"/>
    </row>
    <row r="4" spans="1:10" ht="62.4">
      <c r="A4" s="4"/>
      <c r="B4" s="49"/>
      <c r="C4" s="46" t="s">
        <v>50</v>
      </c>
      <c r="D4" s="47" t="s">
        <v>7</v>
      </c>
      <c r="E4" s="48" t="s">
        <v>51</v>
      </c>
      <c r="F4" s="48" t="s">
        <v>52</v>
      </c>
      <c r="G4" s="48" t="s">
        <v>1</v>
      </c>
      <c r="H4" s="48" t="s">
        <v>41</v>
      </c>
      <c r="I4" s="36" t="s">
        <v>53</v>
      </c>
      <c r="J4" s="5"/>
    </row>
    <row r="5" spans="1:10" ht="26.1" customHeight="1">
      <c r="A5" s="4"/>
      <c r="B5" s="37" t="s">
        <v>14</v>
      </c>
      <c r="C5" s="39">
        <v>20</v>
      </c>
      <c r="D5" s="40"/>
      <c r="E5" s="37" t="s">
        <v>4</v>
      </c>
      <c r="F5" s="37">
        <v>12</v>
      </c>
      <c r="G5" s="37" t="s">
        <v>9</v>
      </c>
      <c r="H5" s="51" t="s">
        <v>47</v>
      </c>
      <c r="I5" s="41"/>
      <c r="J5" s="5"/>
    </row>
    <row r="6" spans="1:10" ht="26.1" customHeight="1">
      <c r="A6" s="4"/>
      <c r="B6" s="37" t="s">
        <v>15</v>
      </c>
      <c r="C6" s="39">
        <v>19</v>
      </c>
      <c r="D6" s="44">
        <f>(C5-C6)/C5</f>
        <v>0.05</v>
      </c>
      <c r="E6" s="37" t="s">
        <v>18</v>
      </c>
      <c r="F6" s="37">
        <v>15</v>
      </c>
      <c r="G6" s="37" t="s">
        <v>20</v>
      </c>
      <c r="H6" s="52"/>
      <c r="I6" s="41"/>
      <c r="J6" s="5"/>
    </row>
    <row r="7" spans="1:10" ht="26.1" customHeight="1">
      <c r="A7" s="4"/>
      <c r="B7" s="37" t="s">
        <v>16</v>
      </c>
      <c r="C7" s="39">
        <v>18</v>
      </c>
      <c r="D7" s="44">
        <f>(C5-C7)/C5</f>
        <v>0.1</v>
      </c>
      <c r="E7" s="37" t="s">
        <v>19</v>
      </c>
      <c r="F7" s="37">
        <v>20</v>
      </c>
      <c r="G7" s="37" t="s">
        <v>21</v>
      </c>
      <c r="H7" s="52"/>
      <c r="I7" s="41"/>
      <c r="J7" s="5"/>
    </row>
    <row r="8" spans="1:10" ht="26.1" customHeight="1">
      <c r="A8" s="4"/>
      <c r="B8" s="37" t="s">
        <v>17</v>
      </c>
      <c r="C8" s="39">
        <v>16</v>
      </c>
      <c r="D8" s="44">
        <f>(C5-C8)/C5</f>
        <v>0.2</v>
      </c>
      <c r="E8" s="37" t="s">
        <v>8</v>
      </c>
      <c r="F8" s="37">
        <v>25</v>
      </c>
      <c r="G8" s="37" t="s">
        <v>10</v>
      </c>
      <c r="H8" s="53"/>
      <c r="I8" s="43"/>
      <c r="J8" s="5"/>
    </row>
    <row r="9" spans="1:10">
      <c r="B9" s="27"/>
      <c r="C9" s="27"/>
      <c r="D9" s="28"/>
      <c r="E9" s="27"/>
      <c r="F9" s="27"/>
      <c r="G9" s="27"/>
      <c r="H9" s="27"/>
      <c r="I9" s="27"/>
    </row>
  </sheetData>
  <mergeCells count="3">
    <mergeCell ref="B3:B4"/>
    <mergeCell ref="C3:I3"/>
    <mergeCell ref="H5:H8"/>
  </mergeCells>
  <phoneticPr fontId="2" type="noConversion"/>
  <conditionalFormatting sqref="C5:C8">
    <cfRule type="top10" dxfId="1" priority="1" rank="1"/>
    <cfRule type="top10" dxfId="0" priority="2" bottom="1" rank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针对同一家范例</vt:lpstr>
      <vt:lpstr>针对不同供方模具+产品范例</vt:lpstr>
      <vt:lpstr>针对不同供方产品范例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QiaoLingChen 陈巧玲</dc:creator>
  <cp:lastModifiedBy>Wynrick Aelthor</cp:lastModifiedBy>
  <dcterms:created xsi:type="dcterms:W3CDTF">2026-06-17T02:52:46Z</dcterms:created>
  <dcterms:modified xsi:type="dcterms:W3CDTF">2026-07-29T04:13:38Z</dcterms:modified>
</cp:coreProperties>
</file>